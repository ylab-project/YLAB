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中川佳久\Desktop\大熊君プログラムテスト2021年8月\T1モデル\"/>
    </mc:Choice>
  </mc:AlternateContent>
  <xr:revisionPtr revIDLastSave="0" documentId="13_ncr:1_{CF0A7B44-9359-4D96-A632-16080F147536}" xr6:coauthVersionLast="47" xr6:coauthVersionMax="47" xr10:uidLastSave="{00000000-0000-0000-0000-000000000000}"/>
  <bookViews>
    <workbookView xWindow="5196" yWindow="1236" windowWidth="15624" windowHeight="10572" activeTab="2" xr2:uid="{2282E13E-23D8-441A-91D5-9B18C5A54E92}"/>
  </bookViews>
  <sheets>
    <sheet name="伏図" sheetId="1" r:id="rId1"/>
    <sheet name="設計変数" sheetId="2" r:id="rId2"/>
    <sheet name="設計変数番号" sheetId="4" r:id="rId3"/>
    <sheet name="各制約条件変数の定義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4" l="1"/>
  <c r="F16" i="4" s="1"/>
  <c r="G16" i="4" s="1"/>
  <c r="H16" i="4" s="1"/>
  <c r="I16" i="4" s="1"/>
  <c r="E8" i="4"/>
  <c r="F8" i="4" s="1"/>
  <c r="G8" i="4" s="1"/>
  <c r="H8" i="4" s="1"/>
  <c r="I8" i="4" s="1"/>
  <c r="J8" i="4" s="1"/>
  <c r="K8" i="4" s="1"/>
  <c r="E7" i="4"/>
  <c r="F7" i="4" s="1"/>
  <c r="G7" i="4" s="1"/>
  <c r="H7" i="4" s="1"/>
  <c r="I7" i="4" s="1"/>
  <c r="J7" i="4" s="1"/>
  <c r="K7" i="4" s="1"/>
  <c r="E6" i="4"/>
  <c r="F6" i="4" s="1"/>
  <c r="G6" i="4" s="1"/>
  <c r="H6" i="4" s="1"/>
  <c r="I6" i="4" s="1"/>
  <c r="J6" i="4" s="1"/>
  <c r="K6" i="4" s="1"/>
  <c r="J17" i="4"/>
  <c r="L9" i="4"/>
  <c r="J19" i="4" s="1"/>
  <c r="B6" i="3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5" i="3"/>
  <c r="J18" i="2" l="1"/>
  <c r="J16" i="2"/>
  <c r="L8" i="2"/>
</calcChain>
</file>

<file path=xl/sharedStrings.xml><?xml version="1.0" encoding="utf-8"?>
<sst xmlns="http://schemas.openxmlformats.org/spreadsheetml/2006/main" count="123" uniqueCount="71">
  <si>
    <t>G1</t>
    <phoneticPr fontId="1"/>
  </si>
  <si>
    <t>G2</t>
    <phoneticPr fontId="1"/>
  </si>
  <si>
    <t>B1</t>
    <phoneticPr fontId="1"/>
  </si>
  <si>
    <t>B2</t>
    <phoneticPr fontId="1"/>
  </si>
  <si>
    <t>H</t>
    <phoneticPr fontId="1"/>
  </si>
  <si>
    <t>B</t>
    <phoneticPr fontId="1"/>
  </si>
  <si>
    <t>T1</t>
    <phoneticPr fontId="1"/>
  </si>
  <si>
    <t>T2</t>
    <phoneticPr fontId="1"/>
  </si>
  <si>
    <t>設計変数</t>
    <rPh sb="0" eb="2">
      <t>セッケイ</t>
    </rPh>
    <rPh sb="2" eb="4">
      <t>ヘンスウ</t>
    </rPh>
    <phoneticPr fontId="1"/>
  </si>
  <si>
    <t>C1</t>
    <phoneticPr fontId="1"/>
  </si>
  <si>
    <t>C2</t>
    <phoneticPr fontId="1"/>
  </si>
  <si>
    <t>C3</t>
    <phoneticPr fontId="1"/>
  </si>
  <si>
    <t>D</t>
    <phoneticPr fontId="1"/>
  </si>
  <si>
    <t>T</t>
    <phoneticPr fontId="1"/>
  </si>
  <si>
    <t>１階</t>
    <rPh sb="1" eb="2">
      <t>カイ</t>
    </rPh>
    <phoneticPr fontId="1"/>
  </si>
  <si>
    <t>2階</t>
    <rPh sb="1" eb="2">
      <t>カイ</t>
    </rPh>
    <phoneticPr fontId="1"/>
  </si>
  <si>
    <t>R階</t>
    <rPh sb="1" eb="2">
      <t>カイ</t>
    </rPh>
    <phoneticPr fontId="1"/>
  </si>
  <si>
    <t>梁設計
変数</t>
    <rPh sb="0" eb="1">
      <t>ハリ</t>
    </rPh>
    <rPh sb="1" eb="3">
      <t>セッケイ</t>
    </rPh>
    <rPh sb="4" eb="6">
      <t>ヘンスウ</t>
    </rPh>
    <phoneticPr fontId="1"/>
  </si>
  <si>
    <t>柱設計
変数</t>
    <rPh sb="0" eb="1">
      <t>ハシラ</t>
    </rPh>
    <rPh sb="1" eb="3">
      <t>セッケイ</t>
    </rPh>
    <rPh sb="4" eb="6">
      <t>ヘンスウ</t>
    </rPh>
    <phoneticPr fontId="1"/>
  </si>
  <si>
    <t>設計変数</t>
    <rPh sb="0" eb="4">
      <t>セッケイヘンスウ</t>
    </rPh>
    <phoneticPr fontId="1"/>
  </si>
  <si>
    <t>総数</t>
    <rPh sb="0" eb="2">
      <t>ソウスウ</t>
    </rPh>
    <phoneticPr fontId="1"/>
  </si>
  <si>
    <t>OK</t>
    <phoneticPr fontId="1"/>
  </si>
  <si>
    <t>変数の定義は？</t>
    <rPh sb="0" eb="2">
      <t>ヘンスウ</t>
    </rPh>
    <rPh sb="3" eb="5">
      <t>テイギ</t>
    </rPh>
    <phoneticPr fontId="1"/>
  </si>
  <si>
    <t>bri</t>
    <phoneticPr fontId="1"/>
  </si>
  <si>
    <t>brj</t>
    <phoneticPr fontId="1"/>
  </si>
  <si>
    <t>brc</t>
    <phoneticPr fontId="1"/>
  </si>
  <si>
    <t>cri</t>
    <phoneticPr fontId="1"/>
  </si>
  <si>
    <t>crj</t>
    <phoneticPr fontId="1"/>
  </si>
  <si>
    <t>bsi</t>
    <phoneticPr fontId="1"/>
  </si>
  <si>
    <t>bsj</t>
    <phoneticPr fontId="1"/>
  </si>
  <si>
    <t>csi</t>
    <phoneticPr fontId="1"/>
  </si>
  <si>
    <t>csj</t>
    <phoneticPr fontId="1"/>
  </si>
  <si>
    <t>form</t>
    <phoneticPr fontId="1"/>
  </si>
  <si>
    <t>wid_thick</t>
    <phoneticPr fontId="1"/>
  </si>
  <si>
    <t>wid_c</t>
    <phoneticPr fontId="1"/>
  </si>
  <si>
    <t>wid_gl</t>
    <phoneticPr fontId="1"/>
  </si>
  <si>
    <t>fr</t>
    <phoneticPr fontId="1"/>
  </si>
  <si>
    <t>deflect</t>
    <phoneticPr fontId="1"/>
  </si>
  <si>
    <t>rps</t>
    <phoneticPr fontId="1"/>
  </si>
  <si>
    <t>No</t>
    <phoneticPr fontId="1"/>
  </si>
  <si>
    <t>制約条件変数名
(ｃの内訳)</t>
    <rPh sb="0" eb="2">
      <t>セイヤク</t>
    </rPh>
    <rPh sb="2" eb="4">
      <t>ジョウケン</t>
    </rPh>
    <rPh sb="4" eb="7">
      <t>ヘンスウメイ</t>
    </rPh>
    <rPh sb="11" eb="13">
      <t>ウチワケ</t>
    </rPh>
    <phoneticPr fontId="1"/>
  </si>
  <si>
    <t xml:space="preserve"> </t>
    <phoneticPr fontId="1"/>
  </si>
  <si>
    <t>変数の数は？</t>
    <rPh sb="0" eb="2">
      <t>ヘンスウ</t>
    </rPh>
    <rPh sb="3" eb="4">
      <t>カズ</t>
    </rPh>
    <phoneticPr fontId="1"/>
  </si>
  <si>
    <t>梁曲げ検定比　i端</t>
    <rPh sb="0" eb="1">
      <t>ハリ</t>
    </rPh>
    <rPh sb="1" eb="2">
      <t>マ</t>
    </rPh>
    <rPh sb="3" eb="6">
      <t>ケンテイヒ</t>
    </rPh>
    <rPh sb="8" eb="9">
      <t>タン</t>
    </rPh>
    <phoneticPr fontId="1"/>
  </si>
  <si>
    <t>梁部材数</t>
    <rPh sb="0" eb="1">
      <t>ハリ</t>
    </rPh>
    <rPh sb="1" eb="4">
      <t>ブザイスウ</t>
    </rPh>
    <phoneticPr fontId="1"/>
  </si>
  <si>
    <t>梁曲げ検定比　j端</t>
    <rPh sb="0" eb="1">
      <t>ハリ</t>
    </rPh>
    <rPh sb="1" eb="2">
      <t>マ</t>
    </rPh>
    <rPh sb="3" eb="6">
      <t>ケンテイヒ</t>
    </rPh>
    <rPh sb="8" eb="9">
      <t>タン</t>
    </rPh>
    <phoneticPr fontId="1"/>
  </si>
  <si>
    <t>梁曲げ検定比　中央</t>
    <rPh sb="0" eb="1">
      <t>ハリ</t>
    </rPh>
    <rPh sb="1" eb="2">
      <t>マ</t>
    </rPh>
    <rPh sb="3" eb="6">
      <t>ケンテイヒ</t>
    </rPh>
    <rPh sb="7" eb="9">
      <t>チュウオウ</t>
    </rPh>
    <phoneticPr fontId="1"/>
  </si>
  <si>
    <t>柱部材数×２</t>
    <rPh sb="0" eb="1">
      <t>ハシラ</t>
    </rPh>
    <rPh sb="1" eb="4">
      <t>ブザイスウ</t>
    </rPh>
    <phoneticPr fontId="1"/>
  </si>
  <si>
    <t>柱曲げ検定比　i端
XとY方向</t>
    <rPh sb="0" eb="1">
      <t>ハシラ</t>
    </rPh>
    <rPh sb="1" eb="2">
      <t>マ</t>
    </rPh>
    <rPh sb="3" eb="6">
      <t>ケンテイヒ</t>
    </rPh>
    <rPh sb="8" eb="9">
      <t>タン</t>
    </rPh>
    <rPh sb="13" eb="15">
      <t>ホウコウ</t>
    </rPh>
    <phoneticPr fontId="1"/>
  </si>
  <si>
    <t>柱曲げ検定比　j端
XとY方向</t>
    <rPh sb="0" eb="1">
      <t>ハシラ</t>
    </rPh>
    <rPh sb="1" eb="2">
      <t>マ</t>
    </rPh>
    <rPh sb="3" eb="6">
      <t>ケンテイヒ</t>
    </rPh>
    <rPh sb="8" eb="9">
      <t>タン</t>
    </rPh>
    <rPh sb="13" eb="15">
      <t>ホウコウ</t>
    </rPh>
    <phoneticPr fontId="1"/>
  </si>
  <si>
    <t>梁せん断検定比　i端</t>
    <rPh sb="0" eb="1">
      <t>ハリ</t>
    </rPh>
    <rPh sb="3" eb="4">
      <t>ダン</t>
    </rPh>
    <rPh sb="4" eb="7">
      <t>ケンテイヒ</t>
    </rPh>
    <rPh sb="9" eb="10">
      <t>タン</t>
    </rPh>
    <phoneticPr fontId="1"/>
  </si>
  <si>
    <t>梁せん断検定比　j端</t>
    <rPh sb="0" eb="1">
      <t>ハリ</t>
    </rPh>
    <rPh sb="3" eb="4">
      <t>ダン</t>
    </rPh>
    <rPh sb="4" eb="7">
      <t>ケンテイヒ</t>
    </rPh>
    <rPh sb="9" eb="10">
      <t>タン</t>
    </rPh>
    <phoneticPr fontId="1"/>
  </si>
  <si>
    <t>柱せん断検定比　i端
XとY方向</t>
    <rPh sb="0" eb="1">
      <t>ハシラ</t>
    </rPh>
    <rPh sb="3" eb="4">
      <t>ダン</t>
    </rPh>
    <rPh sb="4" eb="7">
      <t>ケンテイヒ</t>
    </rPh>
    <rPh sb="9" eb="10">
      <t>タン</t>
    </rPh>
    <rPh sb="14" eb="16">
      <t>ホウコウ</t>
    </rPh>
    <phoneticPr fontId="1"/>
  </si>
  <si>
    <t>柱せん断検定比　j端
XとY方向</t>
    <rPh sb="0" eb="1">
      <t>ハシラ</t>
    </rPh>
    <rPh sb="3" eb="4">
      <t>ダン</t>
    </rPh>
    <rPh sb="4" eb="7">
      <t>ケンテイヒ</t>
    </rPh>
    <rPh sb="9" eb="10">
      <t>タン</t>
    </rPh>
    <rPh sb="14" eb="16">
      <t>ホウコウ</t>
    </rPh>
    <phoneticPr fontId="1"/>
  </si>
  <si>
    <t>梁のたわみ制限</t>
    <rPh sb="0" eb="1">
      <t>ハリ</t>
    </rPh>
    <rPh sb="5" eb="7">
      <t>セイゲン</t>
    </rPh>
    <phoneticPr fontId="1"/>
  </si>
  <si>
    <t>1/300</t>
    <phoneticPr fontId="1"/>
  </si>
  <si>
    <t>梁 フランジ＆ウエブ
幅厚比</t>
    <rPh sb="0" eb="1">
      <t>ハリ</t>
    </rPh>
    <rPh sb="11" eb="12">
      <t>ハバ</t>
    </rPh>
    <rPh sb="12" eb="13">
      <t>アツシ</t>
    </rPh>
    <rPh sb="13" eb="14">
      <t>ヒ</t>
    </rPh>
    <phoneticPr fontId="1"/>
  </si>
  <si>
    <t>梁部材数×2</t>
    <rPh sb="0" eb="1">
      <t>ハリ</t>
    </rPh>
    <rPh sb="1" eb="4">
      <t>ブザイスウ</t>
    </rPh>
    <phoneticPr fontId="1"/>
  </si>
  <si>
    <t>柱幅厚比</t>
    <rPh sb="0" eb="1">
      <t>ハシラ</t>
    </rPh>
    <rPh sb="1" eb="2">
      <t>ハバ</t>
    </rPh>
    <rPh sb="2" eb="3">
      <t>アツ</t>
    </rPh>
    <rPh sb="3" eb="4">
      <t>ヒ</t>
    </rPh>
    <phoneticPr fontId="1"/>
  </si>
  <si>
    <t>？</t>
    <phoneticPr fontId="1"/>
  </si>
  <si>
    <t>梁横座屈細長比率</t>
    <rPh sb="0" eb="1">
      <t>ハリ</t>
    </rPh>
    <rPh sb="1" eb="4">
      <t>ヨコザクツ</t>
    </rPh>
    <rPh sb="4" eb="5">
      <t>ホソ</t>
    </rPh>
    <rPh sb="5" eb="6">
      <t>チョウ</t>
    </rPh>
    <rPh sb="6" eb="8">
      <t>ヒリツ</t>
    </rPh>
    <phoneticPr fontId="1"/>
  </si>
  <si>
    <t>層間変形角</t>
    <rPh sb="0" eb="1">
      <t>ソウ</t>
    </rPh>
    <rPh sb="1" eb="2">
      <t>アイダ</t>
    </rPh>
    <rPh sb="2" eb="5">
      <t>ヘンケイカク</t>
    </rPh>
    <phoneticPr fontId="1"/>
  </si>
  <si>
    <t>層数×２</t>
    <rPh sb="0" eb="1">
      <t>ソウ</t>
    </rPh>
    <rPh sb="1" eb="2">
      <t>カズ</t>
    </rPh>
    <phoneticPr fontId="1"/>
  </si>
  <si>
    <t>1/250</t>
    <phoneticPr fontId="1"/>
  </si>
  <si>
    <t>固定を除く節点数×２</t>
    <rPh sb="0" eb="2">
      <t>コテイ</t>
    </rPh>
    <rPh sb="3" eb="4">
      <t>ノゾ</t>
    </rPh>
    <rPh sb="5" eb="7">
      <t>セッテン</t>
    </rPh>
    <rPh sb="7" eb="8">
      <t>スウ</t>
    </rPh>
    <phoneticPr fontId="1"/>
  </si>
  <si>
    <t>柱梁耐力比
X＆Y方向</t>
    <rPh sb="0" eb="1">
      <t>ハシラ</t>
    </rPh>
    <rPh sb="1" eb="2">
      <t>ハリ</t>
    </rPh>
    <rPh sb="2" eb="5">
      <t>タイリョクヒ</t>
    </rPh>
    <rPh sb="9" eb="11">
      <t>ホウコウ</t>
    </rPh>
    <phoneticPr fontId="1"/>
  </si>
  <si>
    <t>備考</t>
    <rPh sb="0" eb="2">
      <t>ビコウ</t>
    </rPh>
    <phoneticPr fontId="1"/>
  </si>
  <si>
    <t>←通常は1/200</t>
    <rPh sb="1" eb="3">
      <t>ツウジョウ</t>
    </rPh>
    <phoneticPr fontId="1"/>
  </si>
  <si>
    <t>各制約条件変数の定義および変数の数の大熊君への確認依頼</t>
    <rPh sb="0" eb="1">
      <t>カク</t>
    </rPh>
    <rPh sb="1" eb="5">
      <t>セイヤクジョウケン</t>
    </rPh>
    <rPh sb="5" eb="7">
      <t>ヘンスウ</t>
    </rPh>
    <rPh sb="8" eb="10">
      <t>テイギ</t>
    </rPh>
    <rPh sb="13" eb="15">
      <t>ヘンスウ</t>
    </rPh>
    <rPh sb="16" eb="17">
      <t>カズ</t>
    </rPh>
    <rPh sb="18" eb="21">
      <t>オオクマクン</t>
    </rPh>
    <rPh sb="23" eb="25">
      <t>カクニン</t>
    </rPh>
    <rPh sb="25" eb="27">
      <t>イライ</t>
    </rPh>
    <phoneticPr fontId="1"/>
  </si>
  <si>
    <t>設計変数番号：梁</t>
    <rPh sb="0" eb="2">
      <t>セッケイ</t>
    </rPh>
    <rPh sb="2" eb="4">
      <t>ヘンスウ</t>
    </rPh>
    <rPh sb="4" eb="6">
      <t>バンゴウ</t>
    </rPh>
    <rPh sb="7" eb="8">
      <t>ハリ</t>
    </rPh>
    <phoneticPr fontId="1"/>
  </si>
  <si>
    <t>設計変数番号：柱</t>
    <rPh sb="0" eb="4">
      <t>セッケイヘンスウ</t>
    </rPh>
    <rPh sb="4" eb="6">
      <t>バンゴウ</t>
    </rPh>
    <rPh sb="7" eb="8">
      <t>ハシラ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</si>
</sst>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>
      <alignment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Fill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586740</xdr:colOff>
      <xdr:row>1</xdr:row>
      <xdr:rowOff>160020</xdr:rowOff>
    </xdr:from>
    <xdr:to>
      <xdr:col>3</xdr:col>
      <xdr:colOff>76200</xdr:colOff>
      <xdr:row>2</xdr:row>
      <xdr:rowOff>91440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E49BBAD8-CB54-41F1-BC63-1D281620F1FD}"/>
            </a:ext>
          </a:extLst>
        </xdr:cNvPr>
        <xdr:cNvSpPr/>
      </xdr:nvSpPr>
      <xdr:spPr>
        <a:xfrm>
          <a:off x="1927860" y="388620"/>
          <a:ext cx="160020" cy="1600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579120</xdr:colOff>
      <xdr:row>17</xdr:row>
      <xdr:rowOff>175260</xdr:rowOff>
    </xdr:from>
    <xdr:to>
      <xdr:col>3</xdr:col>
      <xdr:colOff>68580</xdr:colOff>
      <xdr:row>18</xdr:row>
      <xdr:rowOff>106680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53D7552-854B-426E-9FCA-DC44F377F1C6}"/>
            </a:ext>
          </a:extLst>
        </xdr:cNvPr>
        <xdr:cNvSpPr/>
      </xdr:nvSpPr>
      <xdr:spPr>
        <a:xfrm>
          <a:off x="1920240" y="4061460"/>
          <a:ext cx="160020" cy="1600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563880</xdr:colOff>
      <xdr:row>17</xdr:row>
      <xdr:rowOff>167640</xdr:rowOff>
    </xdr:from>
    <xdr:to>
      <xdr:col>5</xdr:col>
      <xdr:colOff>60960</xdr:colOff>
      <xdr:row>18</xdr:row>
      <xdr:rowOff>99060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C36BF90A-F03B-4EF5-A823-2425C5B0D18A}"/>
            </a:ext>
          </a:extLst>
        </xdr:cNvPr>
        <xdr:cNvSpPr/>
      </xdr:nvSpPr>
      <xdr:spPr>
        <a:xfrm>
          <a:off x="3185160" y="4053840"/>
          <a:ext cx="160020" cy="1600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579120</xdr:colOff>
      <xdr:row>6</xdr:row>
      <xdr:rowOff>160020</xdr:rowOff>
    </xdr:from>
    <xdr:to>
      <xdr:col>5</xdr:col>
      <xdr:colOff>76200</xdr:colOff>
      <xdr:row>7</xdr:row>
      <xdr:rowOff>91440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C6ED4FF-3BF0-443C-A133-FAAC1751AA4D}"/>
            </a:ext>
          </a:extLst>
        </xdr:cNvPr>
        <xdr:cNvSpPr/>
      </xdr:nvSpPr>
      <xdr:spPr>
        <a:xfrm>
          <a:off x="3200400" y="1531620"/>
          <a:ext cx="160020" cy="1600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579120</xdr:colOff>
      <xdr:row>6</xdr:row>
      <xdr:rowOff>160020</xdr:rowOff>
    </xdr:from>
    <xdr:to>
      <xdr:col>3</xdr:col>
      <xdr:colOff>68580</xdr:colOff>
      <xdr:row>7</xdr:row>
      <xdr:rowOff>91440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7789EF25-37AD-4F00-A7D0-7D1BFBC36E18}"/>
            </a:ext>
          </a:extLst>
        </xdr:cNvPr>
        <xdr:cNvSpPr/>
      </xdr:nvSpPr>
      <xdr:spPr>
        <a:xfrm>
          <a:off x="1920240" y="1531620"/>
          <a:ext cx="160020" cy="1600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594360</xdr:colOff>
      <xdr:row>1</xdr:row>
      <xdr:rowOff>144780</xdr:rowOff>
    </xdr:from>
    <xdr:to>
      <xdr:col>5</xdr:col>
      <xdr:colOff>91440</xdr:colOff>
      <xdr:row>2</xdr:row>
      <xdr:rowOff>76200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B3581D8-34D2-4AC4-B661-2FCC875B6187}"/>
            </a:ext>
          </a:extLst>
        </xdr:cNvPr>
        <xdr:cNvSpPr/>
      </xdr:nvSpPr>
      <xdr:spPr>
        <a:xfrm>
          <a:off x="3215640" y="373380"/>
          <a:ext cx="160020" cy="16002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594363</xdr:colOff>
      <xdr:row>32</xdr:row>
      <xdr:rowOff>15241</xdr:rowOff>
    </xdr:from>
    <xdr:to>
      <xdr:col>3</xdr:col>
      <xdr:colOff>115825</xdr:colOff>
      <xdr:row>32</xdr:row>
      <xdr:rowOff>159259</xdr:rowOff>
    </xdr:to>
    <xdr:sp macro="" textlink="">
      <xdr:nvSpPr>
        <xdr:cNvPr id="5" name="二等辺三角形 4">
          <a:extLst>
            <a:ext uri="{FF2B5EF4-FFF2-40B4-BE49-F238E27FC236}">
              <a16:creationId xmlns:a16="http://schemas.microsoft.com/office/drawing/2014/main" id="{BC34B081-2B60-4A7C-902A-947D12ECFDCC}"/>
            </a:ext>
          </a:extLst>
        </xdr:cNvPr>
        <xdr:cNvSpPr>
          <a:spLocks noChangeAspect="1"/>
        </xdr:cNvSpPr>
      </xdr:nvSpPr>
      <xdr:spPr>
        <a:xfrm>
          <a:off x="1935483" y="7330441"/>
          <a:ext cx="192022" cy="144018"/>
        </a:xfrm>
        <a:prstGeom prst="triangl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571500</xdr:colOff>
      <xdr:row>32</xdr:row>
      <xdr:rowOff>15240</xdr:rowOff>
    </xdr:from>
    <xdr:to>
      <xdr:col>5</xdr:col>
      <xdr:colOff>100582</xdr:colOff>
      <xdr:row>32</xdr:row>
      <xdr:rowOff>159258</xdr:rowOff>
    </xdr:to>
    <xdr:sp macro="" textlink="">
      <xdr:nvSpPr>
        <xdr:cNvPr id="11" name="二等辺三角形 10">
          <a:extLst>
            <a:ext uri="{FF2B5EF4-FFF2-40B4-BE49-F238E27FC236}">
              <a16:creationId xmlns:a16="http://schemas.microsoft.com/office/drawing/2014/main" id="{0ECB56F1-BDBD-4A04-8320-DD994184F6F7}"/>
            </a:ext>
          </a:extLst>
        </xdr:cNvPr>
        <xdr:cNvSpPr>
          <a:spLocks noChangeAspect="1"/>
        </xdr:cNvSpPr>
      </xdr:nvSpPr>
      <xdr:spPr>
        <a:xfrm>
          <a:off x="3192780" y="7330440"/>
          <a:ext cx="192022" cy="144018"/>
        </a:xfrm>
        <a:prstGeom prst="triangl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5666-7F52-4990-B569-1A7E90E881B8}">
  <dimension ref="D3:H32"/>
  <sheetViews>
    <sheetView showGridLines="0" topLeftCell="A13" workbookViewId="0">
      <selection activeCell="C23" sqref="C23:F34"/>
    </sheetView>
  </sheetViews>
  <sheetFormatPr defaultRowHeight="18" x14ac:dyDescent="0.45"/>
  <cols>
    <col min="3" max="3" width="8.796875" customWidth="1"/>
    <col min="4" max="4" width="8" customWidth="1"/>
    <col min="5" max="5" width="8.69921875" customWidth="1"/>
    <col min="6" max="6" width="6.69921875" customWidth="1"/>
  </cols>
  <sheetData>
    <row r="3" spans="4:8" x14ac:dyDescent="0.45">
      <c r="D3" s="1"/>
      <c r="E3" s="2"/>
    </row>
    <row r="4" spans="4:8" x14ac:dyDescent="0.45">
      <c r="D4" s="3"/>
      <c r="E4" s="4"/>
      <c r="H4" s="7"/>
    </row>
    <row r="5" spans="4:8" x14ac:dyDescent="0.45">
      <c r="D5" s="3"/>
      <c r="E5" s="4"/>
    </row>
    <row r="6" spans="4:8" x14ac:dyDescent="0.45">
      <c r="D6" s="3"/>
      <c r="E6" s="4"/>
    </row>
    <row r="7" spans="4:8" x14ac:dyDescent="0.45">
      <c r="D7" s="5"/>
      <c r="E7" s="6"/>
    </row>
    <row r="8" spans="4:8" x14ac:dyDescent="0.45">
      <c r="D8" s="1"/>
      <c r="E8" s="2"/>
    </row>
    <row r="9" spans="4:8" x14ac:dyDescent="0.45">
      <c r="D9" s="3"/>
      <c r="E9" s="4"/>
    </row>
    <row r="10" spans="4:8" x14ac:dyDescent="0.45">
      <c r="D10" s="3"/>
      <c r="E10" s="4"/>
    </row>
    <row r="11" spans="4:8" x14ac:dyDescent="0.45">
      <c r="D11" s="3"/>
      <c r="E11" s="4"/>
    </row>
    <row r="12" spans="4:8" x14ac:dyDescent="0.45">
      <c r="D12" s="3"/>
      <c r="E12" s="4"/>
    </row>
    <row r="13" spans="4:8" x14ac:dyDescent="0.45">
      <c r="D13" s="3"/>
      <c r="E13" s="4"/>
    </row>
    <row r="14" spans="4:8" x14ac:dyDescent="0.45">
      <c r="D14" s="3"/>
      <c r="E14" s="4"/>
    </row>
    <row r="15" spans="4:8" x14ac:dyDescent="0.45">
      <c r="D15" s="3"/>
      <c r="E15" s="4"/>
    </row>
    <row r="16" spans="4:8" x14ac:dyDescent="0.45">
      <c r="D16" s="3"/>
      <c r="E16" s="4"/>
    </row>
    <row r="17" spans="4:5" x14ac:dyDescent="0.45">
      <c r="D17" s="3"/>
      <c r="E17" s="4"/>
    </row>
    <row r="18" spans="4:5" x14ac:dyDescent="0.45">
      <c r="D18" s="5"/>
      <c r="E18" s="6"/>
    </row>
    <row r="24" spans="4:5" x14ac:dyDescent="0.45">
      <c r="D24" s="1"/>
      <c r="E24" s="2"/>
    </row>
    <row r="25" spans="4:5" x14ac:dyDescent="0.45">
      <c r="D25" s="3"/>
      <c r="E25" s="4"/>
    </row>
    <row r="26" spans="4:5" x14ac:dyDescent="0.45">
      <c r="D26" s="3"/>
      <c r="E26" s="4"/>
    </row>
    <row r="27" spans="4:5" x14ac:dyDescent="0.45">
      <c r="D27" s="5"/>
      <c r="E27" s="6"/>
    </row>
    <row r="28" spans="4:5" x14ac:dyDescent="0.45">
      <c r="D28" s="1"/>
      <c r="E28" s="2"/>
    </row>
    <row r="29" spans="4:5" x14ac:dyDescent="0.45">
      <c r="D29" s="3"/>
      <c r="E29" s="4"/>
    </row>
    <row r="30" spans="4:5" x14ac:dyDescent="0.45">
      <c r="D30" s="3"/>
      <c r="E30" s="4"/>
    </row>
    <row r="31" spans="4:5" x14ac:dyDescent="0.45">
      <c r="D31" s="3"/>
      <c r="E31" s="4"/>
    </row>
    <row r="32" spans="4:5" x14ac:dyDescent="0.45">
      <c r="D32" s="5"/>
      <c r="E32" s="6"/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64942-69C6-480B-8B25-C18C5A424665}">
  <dimension ref="C2:L18"/>
  <sheetViews>
    <sheetView workbookViewId="0">
      <selection activeCell="K18" sqref="K18"/>
    </sheetView>
  </sheetViews>
  <sheetFormatPr defaultRowHeight="18" x14ac:dyDescent="0.45"/>
  <cols>
    <col min="3" max="3" width="9.296875" style="8" customWidth="1"/>
  </cols>
  <sheetData>
    <row r="2" spans="3:12" x14ac:dyDescent="0.45">
      <c r="C2" s="24" t="s">
        <v>8</v>
      </c>
      <c r="D2" s="25" t="s">
        <v>15</v>
      </c>
      <c r="E2" s="25"/>
      <c r="F2" s="25"/>
      <c r="G2" s="25"/>
      <c r="H2" s="25" t="s">
        <v>16</v>
      </c>
      <c r="I2" s="25"/>
      <c r="J2" s="25"/>
      <c r="K2" s="25"/>
      <c r="L2" s="23" t="s">
        <v>17</v>
      </c>
    </row>
    <row r="3" spans="3:12" x14ac:dyDescent="0.45">
      <c r="C3" s="24"/>
      <c r="D3" s="11" t="s">
        <v>0</v>
      </c>
      <c r="E3" s="11" t="s">
        <v>1</v>
      </c>
      <c r="F3" s="11" t="s">
        <v>2</v>
      </c>
      <c r="G3" s="11" t="s">
        <v>3</v>
      </c>
      <c r="H3" s="11" t="s">
        <v>0</v>
      </c>
      <c r="I3" s="11" t="s">
        <v>1</v>
      </c>
      <c r="J3" s="11" t="s">
        <v>2</v>
      </c>
      <c r="K3" s="11" t="s">
        <v>3</v>
      </c>
      <c r="L3" s="24"/>
    </row>
    <row r="4" spans="3:12" x14ac:dyDescent="0.45">
      <c r="C4" s="9" t="s">
        <v>4</v>
      </c>
      <c r="D4" s="10">
        <v>1</v>
      </c>
      <c r="E4" s="10">
        <v>1</v>
      </c>
      <c r="F4" s="10">
        <v>2</v>
      </c>
      <c r="G4" s="10">
        <v>1</v>
      </c>
      <c r="H4" s="10">
        <v>1</v>
      </c>
      <c r="I4" s="10">
        <v>1</v>
      </c>
      <c r="J4" s="10">
        <v>2</v>
      </c>
      <c r="K4" s="10">
        <v>1</v>
      </c>
      <c r="L4" s="15">
        <v>2</v>
      </c>
    </row>
    <row r="5" spans="3:12" x14ac:dyDescent="0.45">
      <c r="C5" s="9" t="s">
        <v>5</v>
      </c>
      <c r="D5" s="10">
        <v>1</v>
      </c>
      <c r="E5" s="10">
        <v>2</v>
      </c>
      <c r="F5" s="10">
        <v>3</v>
      </c>
      <c r="G5" s="10">
        <v>4</v>
      </c>
      <c r="H5" s="10">
        <v>5</v>
      </c>
      <c r="I5" s="10">
        <v>6</v>
      </c>
      <c r="J5" s="10">
        <v>7</v>
      </c>
      <c r="K5" s="10">
        <v>8</v>
      </c>
      <c r="L5" s="10">
        <v>8</v>
      </c>
    </row>
    <row r="6" spans="3:12" x14ac:dyDescent="0.45">
      <c r="C6" s="9" t="s">
        <v>6</v>
      </c>
      <c r="D6" s="10">
        <v>1</v>
      </c>
      <c r="E6" s="10">
        <v>2</v>
      </c>
      <c r="F6" s="10">
        <v>3</v>
      </c>
      <c r="G6" s="10">
        <v>4</v>
      </c>
      <c r="H6" s="10">
        <v>5</v>
      </c>
      <c r="I6" s="10">
        <v>6</v>
      </c>
      <c r="J6" s="10">
        <v>7</v>
      </c>
      <c r="K6" s="10">
        <v>8</v>
      </c>
      <c r="L6" s="10">
        <v>8</v>
      </c>
    </row>
    <row r="7" spans="3:12" x14ac:dyDescent="0.45">
      <c r="C7" s="9" t="s">
        <v>7</v>
      </c>
      <c r="D7" s="10">
        <v>1</v>
      </c>
      <c r="E7" s="10">
        <v>2</v>
      </c>
      <c r="F7" s="10">
        <v>3</v>
      </c>
      <c r="G7" s="10">
        <v>4</v>
      </c>
      <c r="H7" s="10">
        <v>5</v>
      </c>
      <c r="I7" s="10">
        <v>6</v>
      </c>
      <c r="J7" s="10">
        <v>7</v>
      </c>
      <c r="K7" s="10">
        <v>8</v>
      </c>
      <c r="L7" s="10">
        <v>8</v>
      </c>
    </row>
    <row r="8" spans="3:12" x14ac:dyDescent="0.45">
      <c r="L8" s="10">
        <f>SUM(L4:L7)</f>
        <v>26</v>
      </c>
    </row>
    <row r="12" spans="3:12" x14ac:dyDescent="0.45">
      <c r="C12" s="24" t="s">
        <v>8</v>
      </c>
      <c r="D12" s="25" t="s">
        <v>14</v>
      </c>
      <c r="E12" s="25"/>
      <c r="F12" s="25"/>
      <c r="G12" s="25" t="s">
        <v>15</v>
      </c>
      <c r="H12" s="25"/>
      <c r="I12" s="25"/>
      <c r="J12" s="23" t="s">
        <v>18</v>
      </c>
    </row>
    <row r="13" spans="3:12" x14ac:dyDescent="0.45">
      <c r="C13" s="24"/>
      <c r="D13" s="11" t="s">
        <v>9</v>
      </c>
      <c r="E13" s="11" t="s">
        <v>10</v>
      </c>
      <c r="F13" s="11" t="s">
        <v>11</v>
      </c>
      <c r="G13" s="11" t="s">
        <v>9</v>
      </c>
      <c r="H13" s="11" t="s">
        <v>10</v>
      </c>
      <c r="I13" s="11" t="s">
        <v>11</v>
      </c>
      <c r="J13" s="24"/>
    </row>
    <row r="14" spans="3:12" x14ac:dyDescent="0.45">
      <c r="C14" s="9" t="s">
        <v>12</v>
      </c>
      <c r="D14" s="10">
        <v>1</v>
      </c>
      <c r="E14" s="10">
        <v>1</v>
      </c>
      <c r="F14" s="10">
        <v>1</v>
      </c>
      <c r="G14" s="10">
        <v>1</v>
      </c>
      <c r="H14" s="10">
        <v>1</v>
      </c>
      <c r="I14" s="10">
        <v>1</v>
      </c>
      <c r="J14" s="15">
        <v>1</v>
      </c>
    </row>
    <row r="15" spans="3:12" x14ac:dyDescent="0.45">
      <c r="C15" s="9" t="s">
        <v>13</v>
      </c>
      <c r="D15" s="10">
        <v>1</v>
      </c>
      <c r="E15" s="10">
        <v>2</v>
      </c>
      <c r="F15" s="10">
        <v>3</v>
      </c>
      <c r="G15" s="10">
        <v>4</v>
      </c>
      <c r="H15" s="10">
        <v>5</v>
      </c>
      <c r="I15" s="10">
        <v>6</v>
      </c>
      <c r="J15" s="10">
        <v>6</v>
      </c>
    </row>
    <row r="16" spans="3:12" x14ac:dyDescent="0.45">
      <c r="J16" s="10">
        <f>SUM(J14:J15)</f>
        <v>7</v>
      </c>
    </row>
    <row r="17" spans="9:11" x14ac:dyDescent="0.45">
      <c r="I17" s="12" t="s">
        <v>19</v>
      </c>
    </row>
    <row r="18" spans="9:11" x14ac:dyDescent="0.45">
      <c r="I18" s="12" t="s">
        <v>20</v>
      </c>
      <c r="J18" s="10">
        <f>L8+J16</f>
        <v>33</v>
      </c>
      <c r="K18" s="8" t="s">
        <v>21</v>
      </c>
    </row>
  </sheetData>
  <mergeCells count="8">
    <mergeCell ref="L2:L3"/>
    <mergeCell ref="J12:J13"/>
    <mergeCell ref="D12:F12"/>
    <mergeCell ref="G12:I12"/>
    <mergeCell ref="C12:C13"/>
    <mergeCell ref="D2:G2"/>
    <mergeCell ref="H2:K2"/>
    <mergeCell ref="C2:C3"/>
  </mergeCells>
  <phoneticPr fontId="1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537D8-49CB-466D-B952-151B37150592}">
  <dimension ref="C2:L19"/>
  <sheetViews>
    <sheetView showGridLines="0" tabSelected="1" topLeftCell="A7" workbookViewId="0">
      <selection activeCell="C12" sqref="C12:I16"/>
    </sheetView>
  </sheetViews>
  <sheetFormatPr defaultRowHeight="18" x14ac:dyDescent="0.45"/>
  <cols>
    <col min="3" max="3" width="8.69921875" style="8" customWidth="1"/>
    <col min="4" max="11" width="6.19921875" customWidth="1"/>
  </cols>
  <sheetData>
    <row r="2" spans="3:12" x14ac:dyDescent="0.45">
      <c r="C2" s="27" t="s">
        <v>69</v>
      </c>
      <c r="D2" s="27"/>
      <c r="E2" s="27"/>
      <c r="F2" s="27"/>
      <c r="G2" s="27"/>
      <c r="H2" s="27"/>
      <c r="I2" s="27"/>
      <c r="J2" s="27"/>
      <c r="K2" s="27"/>
    </row>
    <row r="3" spans="3:12" x14ac:dyDescent="0.45">
      <c r="C3" s="24" t="s">
        <v>8</v>
      </c>
      <c r="D3" s="25" t="s">
        <v>15</v>
      </c>
      <c r="E3" s="25"/>
      <c r="F3" s="25"/>
      <c r="G3" s="25"/>
      <c r="H3" s="25" t="s">
        <v>16</v>
      </c>
      <c r="I3" s="25"/>
      <c r="J3" s="25"/>
      <c r="K3" s="25"/>
      <c r="L3" s="23" t="s">
        <v>17</v>
      </c>
    </row>
    <row r="4" spans="3:12" x14ac:dyDescent="0.45">
      <c r="C4" s="24"/>
      <c r="D4" s="13" t="s">
        <v>0</v>
      </c>
      <c r="E4" s="13" t="s">
        <v>1</v>
      </c>
      <c r="F4" s="13" t="s">
        <v>2</v>
      </c>
      <c r="G4" s="13" t="s">
        <v>3</v>
      </c>
      <c r="H4" s="13" t="s">
        <v>0</v>
      </c>
      <c r="I4" s="13" t="s">
        <v>1</v>
      </c>
      <c r="J4" s="13" t="s">
        <v>2</v>
      </c>
      <c r="K4" s="13" t="s">
        <v>3</v>
      </c>
      <c r="L4" s="24"/>
    </row>
    <row r="5" spans="3:12" x14ac:dyDescent="0.45">
      <c r="C5" s="14" t="s">
        <v>4</v>
      </c>
      <c r="D5" s="10">
        <v>1</v>
      </c>
      <c r="E5" s="10">
        <v>1</v>
      </c>
      <c r="F5" s="10">
        <v>2</v>
      </c>
      <c r="G5" s="10">
        <v>1</v>
      </c>
      <c r="H5" s="10">
        <v>1</v>
      </c>
      <c r="I5" s="10">
        <v>1</v>
      </c>
      <c r="J5" s="10">
        <v>2</v>
      </c>
      <c r="K5" s="10">
        <v>1</v>
      </c>
      <c r="L5" s="15">
        <v>2</v>
      </c>
    </row>
    <row r="6" spans="3:12" x14ac:dyDescent="0.45">
      <c r="C6" s="14" t="s">
        <v>5</v>
      </c>
      <c r="D6" s="10">
        <v>3</v>
      </c>
      <c r="E6" s="10">
        <f>D6+1</f>
        <v>4</v>
      </c>
      <c r="F6" s="10">
        <f t="shared" ref="F6:K6" si="0">E6+1</f>
        <v>5</v>
      </c>
      <c r="G6" s="10">
        <f t="shared" si="0"/>
        <v>6</v>
      </c>
      <c r="H6" s="10">
        <f t="shared" si="0"/>
        <v>7</v>
      </c>
      <c r="I6" s="10">
        <f t="shared" si="0"/>
        <v>8</v>
      </c>
      <c r="J6" s="10">
        <f t="shared" si="0"/>
        <v>9</v>
      </c>
      <c r="K6" s="10">
        <f t="shared" si="0"/>
        <v>10</v>
      </c>
      <c r="L6" s="10">
        <v>8</v>
      </c>
    </row>
    <row r="7" spans="3:12" x14ac:dyDescent="0.45">
      <c r="C7" s="14" t="s">
        <v>6</v>
      </c>
      <c r="D7" s="10">
        <v>11</v>
      </c>
      <c r="E7" s="10">
        <f>D7+1</f>
        <v>12</v>
      </c>
      <c r="F7" s="10">
        <f t="shared" ref="F7:K7" si="1">E7+1</f>
        <v>13</v>
      </c>
      <c r="G7" s="10">
        <f t="shared" si="1"/>
        <v>14</v>
      </c>
      <c r="H7" s="10">
        <f t="shared" si="1"/>
        <v>15</v>
      </c>
      <c r="I7" s="10">
        <f t="shared" si="1"/>
        <v>16</v>
      </c>
      <c r="J7" s="10">
        <f t="shared" si="1"/>
        <v>17</v>
      </c>
      <c r="K7" s="10">
        <f t="shared" si="1"/>
        <v>18</v>
      </c>
      <c r="L7" s="10">
        <v>8</v>
      </c>
    </row>
    <row r="8" spans="3:12" x14ac:dyDescent="0.45">
      <c r="C8" s="14" t="s">
        <v>7</v>
      </c>
      <c r="D8" s="10">
        <v>19</v>
      </c>
      <c r="E8" s="10">
        <f>D8+1</f>
        <v>20</v>
      </c>
      <c r="F8" s="10">
        <f t="shared" ref="F8:K8" si="2">E8+1</f>
        <v>21</v>
      </c>
      <c r="G8" s="10">
        <f t="shared" si="2"/>
        <v>22</v>
      </c>
      <c r="H8" s="10">
        <f t="shared" si="2"/>
        <v>23</v>
      </c>
      <c r="I8" s="10">
        <f t="shared" si="2"/>
        <v>24</v>
      </c>
      <c r="J8" s="10">
        <f t="shared" si="2"/>
        <v>25</v>
      </c>
      <c r="K8" s="10">
        <f t="shared" si="2"/>
        <v>26</v>
      </c>
      <c r="L8" s="10">
        <v>8</v>
      </c>
    </row>
    <row r="9" spans="3:12" x14ac:dyDescent="0.45">
      <c r="L9" s="10">
        <f>SUM(L5:L8)</f>
        <v>26</v>
      </c>
    </row>
    <row r="12" spans="3:12" x14ac:dyDescent="0.45">
      <c r="C12" s="27" t="s">
        <v>70</v>
      </c>
      <c r="D12" s="27"/>
      <c r="E12" s="27"/>
      <c r="F12" s="27"/>
      <c r="G12" s="27"/>
      <c r="H12" s="27"/>
      <c r="I12" s="27"/>
    </row>
    <row r="13" spans="3:12" x14ac:dyDescent="0.45">
      <c r="C13" s="24" t="s">
        <v>8</v>
      </c>
      <c r="D13" s="25" t="s">
        <v>14</v>
      </c>
      <c r="E13" s="25"/>
      <c r="F13" s="25"/>
      <c r="G13" s="25" t="s">
        <v>15</v>
      </c>
      <c r="H13" s="25"/>
      <c r="I13" s="25"/>
      <c r="J13" s="23" t="s">
        <v>18</v>
      </c>
    </row>
    <row r="14" spans="3:12" x14ac:dyDescent="0.45">
      <c r="C14" s="24"/>
      <c r="D14" s="13" t="s">
        <v>9</v>
      </c>
      <c r="E14" s="13" t="s">
        <v>10</v>
      </c>
      <c r="F14" s="13" t="s">
        <v>11</v>
      </c>
      <c r="G14" s="13" t="s">
        <v>9</v>
      </c>
      <c r="H14" s="13" t="s">
        <v>10</v>
      </c>
      <c r="I14" s="13" t="s">
        <v>11</v>
      </c>
      <c r="J14" s="24"/>
    </row>
    <row r="15" spans="3:12" x14ac:dyDescent="0.45">
      <c r="C15" s="14" t="s">
        <v>12</v>
      </c>
      <c r="D15" s="10">
        <v>27</v>
      </c>
      <c r="E15" s="10">
        <v>27</v>
      </c>
      <c r="F15" s="10">
        <v>27</v>
      </c>
      <c r="G15" s="10">
        <v>27</v>
      </c>
      <c r="H15" s="10">
        <v>27</v>
      </c>
      <c r="I15" s="10">
        <v>27</v>
      </c>
      <c r="J15" s="15">
        <v>1</v>
      </c>
    </row>
    <row r="16" spans="3:12" x14ac:dyDescent="0.45">
      <c r="C16" s="14" t="s">
        <v>13</v>
      </c>
      <c r="D16" s="10">
        <v>28</v>
      </c>
      <c r="E16" s="10">
        <f>D16+1</f>
        <v>29</v>
      </c>
      <c r="F16" s="10">
        <f t="shared" ref="F16:I16" si="3">E16+1</f>
        <v>30</v>
      </c>
      <c r="G16" s="10">
        <f t="shared" si="3"/>
        <v>31</v>
      </c>
      <c r="H16" s="10">
        <f t="shared" si="3"/>
        <v>32</v>
      </c>
      <c r="I16" s="10">
        <f t="shared" si="3"/>
        <v>33</v>
      </c>
      <c r="J16" s="10">
        <v>6</v>
      </c>
    </row>
    <row r="17" spans="9:11" x14ac:dyDescent="0.45">
      <c r="J17" s="10">
        <f>SUM(J15:J16)</f>
        <v>7</v>
      </c>
    </row>
    <row r="18" spans="9:11" x14ac:dyDescent="0.45">
      <c r="I18" s="14" t="s">
        <v>19</v>
      </c>
    </row>
    <row r="19" spans="9:11" x14ac:dyDescent="0.45">
      <c r="I19" s="14" t="s">
        <v>20</v>
      </c>
      <c r="J19" s="10">
        <f>L9+J17</f>
        <v>33</v>
      </c>
      <c r="K19" s="8" t="s">
        <v>21</v>
      </c>
    </row>
  </sheetData>
  <mergeCells count="10">
    <mergeCell ref="C2:K2"/>
    <mergeCell ref="C12:I12"/>
    <mergeCell ref="C3:C4"/>
    <mergeCell ref="D3:G3"/>
    <mergeCell ref="H3:K3"/>
    <mergeCell ref="L3:L4"/>
    <mergeCell ref="C13:C14"/>
    <mergeCell ref="D13:F13"/>
    <mergeCell ref="G13:I13"/>
    <mergeCell ref="J13:J14"/>
  </mergeCells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C28C-11AD-4D21-9780-7B25A4B360C4}">
  <dimension ref="B2:G21"/>
  <sheetViews>
    <sheetView workbookViewId="0">
      <selection activeCell="G3" sqref="G3"/>
    </sheetView>
  </sheetViews>
  <sheetFormatPr defaultRowHeight="18" x14ac:dyDescent="0.45"/>
  <cols>
    <col min="2" max="2" width="8.796875" style="8"/>
    <col min="3" max="3" width="22.5" style="8" customWidth="1"/>
    <col min="4" max="4" width="21.796875" style="8" customWidth="1"/>
    <col min="5" max="5" width="20.296875" style="8" customWidth="1"/>
    <col min="6" max="6" width="8.796875" style="8"/>
    <col min="7" max="7" width="21.59765625" customWidth="1"/>
  </cols>
  <sheetData>
    <row r="2" spans="2:6" x14ac:dyDescent="0.45">
      <c r="B2" s="26" t="s">
        <v>68</v>
      </c>
      <c r="C2" s="26"/>
      <c r="D2" s="26"/>
      <c r="E2" s="26"/>
      <c r="F2" s="26"/>
    </row>
    <row r="3" spans="2:6" ht="33.6" customHeight="1" x14ac:dyDescent="0.45">
      <c r="B3" s="17" t="s">
        <v>39</v>
      </c>
      <c r="C3" s="18" t="s">
        <v>40</v>
      </c>
      <c r="D3" s="22" t="s">
        <v>22</v>
      </c>
      <c r="E3" s="22" t="s">
        <v>42</v>
      </c>
      <c r="F3" s="17" t="s">
        <v>66</v>
      </c>
    </row>
    <row r="4" spans="2:6" x14ac:dyDescent="0.45">
      <c r="B4" s="12">
        <v>1</v>
      </c>
      <c r="C4" s="12" t="s">
        <v>23</v>
      </c>
      <c r="D4" s="19" t="s">
        <v>43</v>
      </c>
      <c r="E4" s="19" t="s">
        <v>44</v>
      </c>
      <c r="F4" s="12"/>
    </row>
    <row r="5" spans="2:6" x14ac:dyDescent="0.45">
      <c r="B5" s="12">
        <f>B4+1</f>
        <v>2</v>
      </c>
      <c r="C5" s="12" t="s">
        <v>24</v>
      </c>
      <c r="D5" s="19" t="s">
        <v>45</v>
      </c>
      <c r="E5" s="19" t="s">
        <v>44</v>
      </c>
      <c r="F5" s="12"/>
    </row>
    <row r="6" spans="2:6" x14ac:dyDescent="0.45">
      <c r="B6" s="12">
        <f t="shared" ref="B6:B19" si="0">B5+1</f>
        <v>3</v>
      </c>
      <c r="C6" s="12" t="s">
        <v>25</v>
      </c>
      <c r="D6" s="19" t="s">
        <v>46</v>
      </c>
      <c r="E6" s="19" t="s">
        <v>44</v>
      </c>
      <c r="F6" s="12"/>
    </row>
    <row r="7" spans="2:6" ht="36" x14ac:dyDescent="0.45">
      <c r="B7" s="12">
        <f t="shared" si="0"/>
        <v>4</v>
      </c>
      <c r="C7" s="12" t="s">
        <v>26</v>
      </c>
      <c r="D7" s="20" t="s">
        <v>48</v>
      </c>
      <c r="E7" s="19" t="s">
        <v>47</v>
      </c>
      <c r="F7" s="12"/>
    </row>
    <row r="8" spans="2:6" ht="36" x14ac:dyDescent="0.45">
      <c r="B8" s="12">
        <f t="shared" si="0"/>
        <v>5</v>
      </c>
      <c r="C8" s="12" t="s">
        <v>27</v>
      </c>
      <c r="D8" s="20" t="s">
        <v>49</v>
      </c>
      <c r="E8" s="19" t="s">
        <v>47</v>
      </c>
      <c r="F8" s="12"/>
    </row>
    <row r="9" spans="2:6" x14ac:dyDescent="0.45">
      <c r="B9" s="12">
        <f t="shared" si="0"/>
        <v>6</v>
      </c>
      <c r="C9" s="12" t="s">
        <v>28</v>
      </c>
      <c r="D9" s="19" t="s">
        <v>50</v>
      </c>
      <c r="E9" s="19" t="s">
        <v>44</v>
      </c>
      <c r="F9" s="12"/>
    </row>
    <row r="10" spans="2:6" x14ac:dyDescent="0.45">
      <c r="B10" s="12">
        <f t="shared" si="0"/>
        <v>7</v>
      </c>
      <c r="C10" s="12" t="s">
        <v>29</v>
      </c>
      <c r="D10" s="19" t="s">
        <v>51</v>
      </c>
      <c r="E10" s="19" t="s">
        <v>44</v>
      </c>
      <c r="F10" s="12"/>
    </row>
    <row r="11" spans="2:6" ht="36" x14ac:dyDescent="0.45">
      <c r="B11" s="12">
        <f t="shared" si="0"/>
        <v>8</v>
      </c>
      <c r="C11" s="12" t="s">
        <v>30</v>
      </c>
      <c r="D11" s="20" t="s">
        <v>52</v>
      </c>
      <c r="E11" s="19" t="s">
        <v>47</v>
      </c>
      <c r="F11" s="12"/>
    </row>
    <row r="12" spans="2:6" ht="36" x14ac:dyDescent="0.45">
      <c r="B12" s="12">
        <f t="shared" si="0"/>
        <v>9</v>
      </c>
      <c r="C12" s="12" t="s">
        <v>31</v>
      </c>
      <c r="D12" s="20" t="s">
        <v>53</v>
      </c>
      <c r="E12" s="19" t="s">
        <v>47</v>
      </c>
      <c r="F12" s="12"/>
    </row>
    <row r="13" spans="2:6" x14ac:dyDescent="0.45">
      <c r="B13" s="12">
        <f t="shared" si="0"/>
        <v>10</v>
      </c>
      <c r="C13" s="12" t="s">
        <v>32</v>
      </c>
      <c r="D13" s="19" t="s">
        <v>54</v>
      </c>
      <c r="E13" s="19" t="s">
        <v>44</v>
      </c>
      <c r="F13" s="12" t="s">
        <v>55</v>
      </c>
    </row>
    <row r="14" spans="2:6" ht="36" x14ac:dyDescent="0.45">
      <c r="B14" s="12">
        <f t="shared" si="0"/>
        <v>11</v>
      </c>
      <c r="C14" s="12" t="s">
        <v>33</v>
      </c>
      <c r="D14" s="20" t="s">
        <v>56</v>
      </c>
      <c r="E14" s="19" t="s">
        <v>57</v>
      </c>
      <c r="F14" s="12"/>
    </row>
    <row r="15" spans="2:6" x14ac:dyDescent="0.45">
      <c r="B15" s="12">
        <f t="shared" si="0"/>
        <v>12</v>
      </c>
      <c r="C15" s="12" t="s">
        <v>34</v>
      </c>
      <c r="D15" s="19" t="s">
        <v>58</v>
      </c>
      <c r="E15" s="19" t="s">
        <v>47</v>
      </c>
      <c r="F15" s="12"/>
    </row>
    <row r="16" spans="2:6" x14ac:dyDescent="0.45">
      <c r="B16" s="12">
        <f t="shared" si="0"/>
        <v>13</v>
      </c>
      <c r="C16" s="16" t="s">
        <v>35</v>
      </c>
      <c r="D16" s="19" t="s">
        <v>59</v>
      </c>
      <c r="E16" s="19" t="s">
        <v>59</v>
      </c>
      <c r="F16" s="12"/>
    </row>
    <row r="17" spans="2:7" x14ac:dyDescent="0.45">
      <c r="B17" s="12">
        <f t="shared" si="0"/>
        <v>14</v>
      </c>
      <c r="C17" s="12" t="s">
        <v>36</v>
      </c>
      <c r="D17" s="19" t="s">
        <v>60</v>
      </c>
      <c r="E17" s="19" t="s">
        <v>44</v>
      </c>
      <c r="F17" s="12"/>
    </row>
    <row r="18" spans="2:7" x14ac:dyDescent="0.45">
      <c r="B18" s="12">
        <f t="shared" si="0"/>
        <v>15</v>
      </c>
      <c r="C18" s="12" t="s">
        <v>37</v>
      </c>
      <c r="D18" s="19" t="s">
        <v>61</v>
      </c>
      <c r="E18" s="19" t="s">
        <v>62</v>
      </c>
      <c r="F18" s="12" t="s">
        <v>63</v>
      </c>
      <c r="G18" s="21" t="s">
        <v>67</v>
      </c>
    </row>
    <row r="19" spans="2:7" ht="36" x14ac:dyDescent="0.45">
      <c r="B19" s="12">
        <f t="shared" si="0"/>
        <v>16</v>
      </c>
      <c r="C19" s="12" t="s">
        <v>38</v>
      </c>
      <c r="D19" s="20" t="s">
        <v>65</v>
      </c>
      <c r="E19" s="19" t="s">
        <v>64</v>
      </c>
      <c r="F19" s="12"/>
    </row>
    <row r="20" spans="2:7" x14ac:dyDescent="0.45">
      <c r="B20" s="8" t="s">
        <v>41</v>
      </c>
    </row>
    <row r="21" spans="2:7" x14ac:dyDescent="0.45">
      <c r="B21" s="8" t="s">
        <v>41</v>
      </c>
    </row>
  </sheetData>
  <mergeCells count="1">
    <mergeCell ref="B2:F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伏図</vt:lpstr>
      <vt:lpstr>設計変数</vt:lpstr>
      <vt:lpstr>設計変数番号</vt:lpstr>
      <vt:lpstr>各制約条件変数の定義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中川佳久</dc:creator>
  <cp:lastModifiedBy>中川佳久</cp:lastModifiedBy>
  <dcterms:created xsi:type="dcterms:W3CDTF">2021-08-04T01:32:11Z</dcterms:created>
  <dcterms:modified xsi:type="dcterms:W3CDTF">2021-08-19T01:40:49Z</dcterms:modified>
</cp:coreProperties>
</file>