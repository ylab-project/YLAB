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oy\Dropbox (Ylab)\ユニオンシステム\ユニオンシステム共有\受け渡し\T1モデル_SS7データ＆関連資料中川20221017\T1モデル_SS7とALMの比較\T1モデル概要\"/>
    </mc:Choice>
  </mc:AlternateContent>
  <xr:revisionPtr revIDLastSave="0" documentId="13_ncr:1_{22609153-4A0A-4238-B3A5-236E593CBF25}" xr6:coauthVersionLast="47" xr6:coauthVersionMax="47" xr10:uidLastSave="{00000000-0000-0000-0000-000000000000}"/>
  <bookViews>
    <workbookView xWindow="15096" yWindow="17172" windowWidth="23256" windowHeight="13176" xr2:uid="{93ECF36E-3BA6-40D3-BBC7-4FB54C2E6EDD}"/>
  </bookViews>
  <sheets>
    <sheet name="Sheet1" sheetId="1" r:id="rId1"/>
  </sheets>
  <definedNames>
    <definedName name="_xlnm.Print_Area" localSheetId="0">Sheet1!$B$1:$J$8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4" i="1"/>
  <c r="I5" i="1"/>
  <c r="I6" i="1"/>
  <c r="I7" i="1"/>
  <c r="I8" i="1"/>
  <c r="I4" i="1"/>
  <c r="H6" i="1"/>
  <c r="H7" i="1"/>
  <c r="H8" i="1"/>
  <c r="H4" i="1"/>
  <c r="G5" i="1"/>
  <c r="H5" i="1" s="1"/>
  <c r="G6" i="1"/>
  <c r="G7" i="1"/>
  <c r="G8" i="1"/>
  <c r="G4" i="1"/>
  <c r="F5" i="1"/>
</calcChain>
</file>

<file path=xl/sharedStrings.xml><?xml version="1.0" encoding="utf-8"?>
<sst xmlns="http://schemas.openxmlformats.org/spreadsheetml/2006/main" count="13" uniqueCount="13">
  <si>
    <t>梁CMQ</t>
    <rPh sb="0" eb="1">
      <t>ハリ</t>
    </rPh>
    <phoneticPr fontId="1"/>
  </si>
  <si>
    <t>フレーム名</t>
    <rPh sb="4" eb="5">
      <t>メイ</t>
    </rPh>
    <phoneticPr fontId="1"/>
  </si>
  <si>
    <t>スパン</t>
    <phoneticPr fontId="1"/>
  </si>
  <si>
    <t>C</t>
    <phoneticPr fontId="1"/>
  </si>
  <si>
    <t>Q</t>
    <phoneticPr fontId="1"/>
  </si>
  <si>
    <t>M0</t>
    <phoneticPr fontId="1"/>
  </si>
  <si>
    <t>Y１</t>
    <phoneticPr fontId="1"/>
  </si>
  <si>
    <t>Y2</t>
    <phoneticPr fontId="1"/>
  </si>
  <si>
    <t>Y3</t>
    <phoneticPr fontId="1"/>
  </si>
  <si>
    <t>X1,X2</t>
    <phoneticPr fontId="1"/>
  </si>
  <si>
    <t>①w</t>
    <phoneticPr fontId="1"/>
  </si>
  <si>
    <t>②幅</t>
    <rPh sb="1" eb="2">
      <t>ハバ</t>
    </rPh>
    <phoneticPr fontId="1"/>
  </si>
  <si>
    <t>①×②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</si>
</sst>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176" fontId="0" fillId="2" borderId="1" xfId="0" applyNumberFormat="1" applyFill="1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046A-E076-4208-A0B7-57A5EC92A7FC}">
  <dimension ref="B2:J8"/>
  <sheetViews>
    <sheetView tabSelected="1" view="pageBreakPreview" zoomScale="60" zoomScaleNormal="100" workbookViewId="0">
      <selection activeCell="M14" sqref="M14"/>
    </sheetView>
  </sheetViews>
  <sheetFormatPr defaultRowHeight="18.75" x14ac:dyDescent="0.4"/>
  <cols>
    <col min="1" max="2" width="9" style="1"/>
    <col min="3" max="3" width="11.5" style="1" customWidth="1"/>
    <col min="4" max="16384" width="9" style="1"/>
  </cols>
  <sheetData>
    <row r="2" spans="2:10" x14ac:dyDescent="0.4">
      <c r="B2" s="1" t="s">
        <v>0</v>
      </c>
    </row>
    <row r="3" spans="2:10" x14ac:dyDescent="0.4">
      <c r="C3" s="2" t="s">
        <v>1</v>
      </c>
      <c r="D3" s="2" t="s">
        <v>2</v>
      </c>
      <c r="E3" s="2" t="s">
        <v>10</v>
      </c>
      <c r="F3" s="2" t="s">
        <v>11</v>
      </c>
      <c r="G3" s="2" t="s">
        <v>12</v>
      </c>
      <c r="H3" s="2" t="s">
        <v>3</v>
      </c>
      <c r="I3" s="2" t="s">
        <v>4</v>
      </c>
      <c r="J3" s="2" t="s">
        <v>5</v>
      </c>
    </row>
    <row r="4" spans="2:10" x14ac:dyDescent="0.4">
      <c r="C4" s="2" t="s">
        <v>6</v>
      </c>
      <c r="D4" s="3">
        <v>6.4</v>
      </c>
      <c r="E4" s="3">
        <v>8</v>
      </c>
      <c r="F4" s="3">
        <v>1.6</v>
      </c>
      <c r="G4" s="3">
        <f>E4*F4</f>
        <v>12.8</v>
      </c>
      <c r="H4" s="4">
        <f>G4*D4*D4/12</f>
        <v>43.690666666666679</v>
      </c>
      <c r="I4" s="4">
        <f>D4*G4/2</f>
        <v>40.960000000000008</v>
      </c>
      <c r="J4" s="4">
        <f>G4*D4*D4/8</f>
        <v>65.536000000000016</v>
      </c>
    </row>
    <row r="5" spans="2:10" x14ac:dyDescent="0.4">
      <c r="C5" s="2" t="s">
        <v>7</v>
      </c>
      <c r="D5" s="3">
        <v>6.4</v>
      </c>
      <c r="E5" s="3">
        <v>8</v>
      </c>
      <c r="F5" s="3">
        <f>1.6+1.45</f>
        <v>3.05</v>
      </c>
      <c r="G5" s="3">
        <f t="shared" ref="G5:G8" si="0">E5*F5</f>
        <v>24.4</v>
      </c>
      <c r="H5" s="4">
        <f t="shared" ref="H5:H8" si="1">G5*D5*D5/12</f>
        <v>83.285333333333327</v>
      </c>
      <c r="I5" s="4">
        <f t="shared" ref="I5:I8" si="2">D5*G5/2</f>
        <v>78.08</v>
      </c>
      <c r="J5" s="4">
        <f t="shared" ref="J5:J8" si="3">G5*D5*D5/8</f>
        <v>124.928</v>
      </c>
    </row>
    <row r="6" spans="2:10" x14ac:dyDescent="0.4">
      <c r="C6" s="2" t="s">
        <v>8</v>
      </c>
      <c r="D6" s="3">
        <v>6.4</v>
      </c>
      <c r="E6" s="3">
        <v>8</v>
      </c>
      <c r="F6" s="3">
        <v>1.45</v>
      </c>
      <c r="G6" s="3">
        <f t="shared" si="0"/>
        <v>11.6</v>
      </c>
      <c r="H6" s="4">
        <f t="shared" si="1"/>
        <v>39.594666666666662</v>
      </c>
      <c r="I6" s="4">
        <f t="shared" si="2"/>
        <v>37.119999999999997</v>
      </c>
      <c r="J6" s="4">
        <f t="shared" si="3"/>
        <v>59.391999999999996</v>
      </c>
    </row>
    <row r="7" spans="2:10" x14ac:dyDescent="0.4">
      <c r="C7" s="5" t="s">
        <v>9</v>
      </c>
      <c r="D7" s="3">
        <v>12.8</v>
      </c>
      <c r="E7" s="3">
        <v>8</v>
      </c>
      <c r="F7" s="3">
        <v>3.2</v>
      </c>
      <c r="G7" s="3">
        <f t="shared" si="0"/>
        <v>25.6</v>
      </c>
      <c r="H7" s="4">
        <f t="shared" si="1"/>
        <v>349.52533333333344</v>
      </c>
      <c r="I7" s="4">
        <f t="shared" si="2"/>
        <v>163.84000000000003</v>
      </c>
      <c r="J7" s="4">
        <f t="shared" si="3"/>
        <v>524.28800000000012</v>
      </c>
    </row>
    <row r="8" spans="2:10" x14ac:dyDescent="0.4">
      <c r="C8" s="5"/>
      <c r="D8" s="3">
        <v>5.8</v>
      </c>
      <c r="E8" s="3">
        <v>8</v>
      </c>
      <c r="F8" s="3">
        <v>3.2</v>
      </c>
      <c r="G8" s="3">
        <f t="shared" si="0"/>
        <v>25.6</v>
      </c>
      <c r="H8" s="4">
        <f t="shared" si="1"/>
        <v>71.765333333333331</v>
      </c>
      <c r="I8" s="4">
        <f t="shared" si="2"/>
        <v>74.239999999999995</v>
      </c>
      <c r="J8" s="4">
        <f t="shared" si="3"/>
        <v>107.648</v>
      </c>
    </row>
  </sheetData>
  <mergeCells count="1">
    <mergeCell ref="C7:C8"/>
  </mergeCells>
  <phoneticPr fontId="1"/>
  <pageMargins left="0.7" right="0.7" top="0.75" bottom="0.75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中川佳久</dc:creator>
  <cp:lastModifiedBy>Makoto Yamakawa</cp:lastModifiedBy>
  <cp:lastPrinted>2023-08-09T00:37:43Z</cp:lastPrinted>
  <dcterms:created xsi:type="dcterms:W3CDTF">2021-08-02T07:35:58Z</dcterms:created>
  <dcterms:modified xsi:type="dcterms:W3CDTF">2023-08-09T00:37:48Z</dcterms:modified>
</cp:coreProperties>
</file>